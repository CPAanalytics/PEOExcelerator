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.chevalier\RiderProjects\PEOExcelerator\examples\"/>
    </mc:Choice>
  </mc:AlternateContent>
  <xr:revisionPtr revIDLastSave="0" documentId="8_{F8662E28-4E1B-4066-92E2-EF2DC9E4C107}" xr6:coauthVersionLast="47" xr6:coauthVersionMax="47" xr10:uidLastSave="{00000000-0000-0000-0000-000000000000}"/>
  <bookViews>
    <workbookView xWindow="2730" yWindow="2730" windowWidth="21600" windowHeight="11175" xr2:uid="{3F0C7700-103A-4390-BF26-C1C8B212F9BA}"/>
  </bookViews>
  <sheets>
    <sheet name="Monthly sche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8" i="1" l="1" a="1"/>
  <c r="A18" i="1" a="1"/>
  <c r="B14" i="1" a="1"/>
  <c r="B12" i="1"/>
  <c r="B11" i="1"/>
  <c r="B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<sst xmlns="http://schemas.openxmlformats.org/spreadsheetml/2006/main" count="22" uniqueCount="22">
  <si>
    <t>Monthly account schedule</t>
  </si>
  <si>
    <t>Connect with Snowflake, choose the inputs below, then change Refresh to fetch fresh results.</t>
  </si>
  <si>
    <t>Entity</t>
  </si>
  <si>
    <t>EXAMPLE_ENTITY</t>
  </si>
  <si>
    <t>Period start</t>
  </si>
  <si>
    <t>Source table</t>
  </si>
  <si>
    <t>FINANCE.PUBLIC.GL_ENTRIES</t>
  </si>
  <si>
    <t>Refresh</t>
  </si>
  <si>
    <t>Maximum detail rows</t>
  </si>
  <si>
    <t>SQL filter</t>
  </si>
  <si>
    <t>Total SQL</t>
  </si>
  <si>
    <t>Detail SQL</t>
  </si>
  <si>
    <t>Total amount</t>
  </si>
  <si>
    <t>Account detail — leave the output area below clear</t>
  </si>
  <si>
    <t>Detail query status</t>
  </si>
  <si>
    <t>Getting started</t>
  </si>
  <si>
    <t>1. Install the rebuilt Excelerator add-in and use Connect in this workbook.</t>
  </si>
  <si>
    <t>2. Replace the example entity, period and source table. The SQL assumes entity, posting_date, account_code, account_name and amount columns.</t>
  </si>
  <si>
    <t>3. Increase Refresh by 1 to fetch again. Ordinary recalculation reuses results.</t>
  </si>
  <si>
    <t>4. High-precision amounts are returned as exact text. Choose an explicit numeric CAST in SQL only when its precision and scale fit your reporting requirements.</t>
  </si>
  <si>
    <t>5. Keep the detail spill area clear. Place formulas and notes beside the output.</t>
  </si>
  <si>
    <t>Agents: use SFDATABASES, SFSCHEMAS, SFTABLES and SFCOLUMNS to discover the actual source before adapting this template.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</si>
</sst>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16F62-D567-4DBA-9714-2BF25C6A3D45}">
  <dimension ref="A1:H18"/>
  <sheetViews>
    <sheetView tabSelected="1" workbookViewId="0"/>
  </sheetViews>
  <sheetFormatPr defaultRowHeight="15" x14ac:dyDescent="0.25"/>
  <cols>
    <col min="1" max="1" width="25.7109375" customWidth="1"/>
    <col min="2" max="2" width="45.7109375" customWidth="1"/>
    <col min="3" max="3" width="24.7109375" customWidth="1"/>
    <col min="4" max="4" width="3.7109375" customWidth="1"/>
    <col min="5" max="8" width="19.7109375" customWidth="1"/>
  </cols>
  <sheetData>
    <row r="1" spans="1:8" ht="26.25" x14ac:dyDescent="0.4">
      <c r="A1" s="2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 t="s">
        <v>1</v>
      </c>
      <c r="B2" s="1"/>
      <c r="C2" s="1"/>
      <c r="D2" s="1"/>
      <c r="E2" s="1"/>
      <c r="F2" s="1"/>
      <c r="G2" s="1"/>
      <c r="H2" s="1"/>
    </row>
    <row r="4" spans="1:8" x14ac:dyDescent="0.25">
      <c r="A4" t="s">
        <v>2</v>
      </c>
      <c r="B4" s="5" t="s">
        <v>3</v>
      </c>
      <c r="E4" s="3" t="s">
        <v>15</v>
      </c>
      <c r="F4" s="1"/>
      <c r="G4" s="1"/>
      <c r="H4" s="1"/>
    </row>
    <row r="5" spans="1:8" x14ac:dyDescent="0.25">
      <c r="A5" t="s">
        <v>4</v>
      </c>
      <c r="B5" s="6">
        <v>46266</v>
      </c>
      <c r="E5" s="4" t="s">
        <v>16</v>
      </c>
      <c r="F5" s="4"/>
      <c r="G5" s="4"/>
      <c r="H5" s="4"/>
    </row>
    <row r="6" spans="1:8" x14ac:dyDescent="0.25">
      <c r="A6" t="s">
        <v>5</v>
      </c>
      <c r="B6" s="5" t="s">
        <v>6</v>
      </c>
      <c r="E6" s="4"/>
      <c r="F6" s="4"/>
      <c r="G6" s="4"/>
      <c r="H6" s="4"/>
    </row>
    <row r="7" spans="1:8" x14ac:dyDescent="0.25">
      <c r="A7" t="s">
        <v>7</v>
      </c>
      <c r="B7" s="5">
        <v>0</v>
      </c>
      <c r="E7" s="4" t="s">
        <v>17</v>
      </c>
      <c r="F7" s="4"/>
      <c r="G7" s="4"/>
      <c r="H7" s="4"/>
    </row>
    <row r="8" spans="1:8" x14ac:dyDescent="0.25">
      <c r="A8" t="s">
        <v>8</v>
      </c>
      <c r="B8" s="5">
        <v>10000</v>
      </c>
      <c r="E8" s="4"/>
      <c r="F8" s="4"/>
      <c r="G8" s="4"/>
      <c r="H8" s="4"/>
    </row>
    <row r="9" spans="1:8" x14ac:dyDescent="0.25">
      <c r="E9" s="4" t="s">
        <v>18</v>
      </c>
      <c r="F9" s="4"/>
      <c r="G9" s="4"/>
      <c r="H9" s="4"/>
    </row>
    <row r="10" spans="1:8" ht="60" customHeight="1" x14ac:dyDescent="0.25">
      <c r="A10" s="7" t="s">
        <v>9</v>
      </c>
      <c r="B10" s="7" t="str">
        <f>"FROM "&amp;B6&amp;" WHERE entity = '"&amp;SUBSTITUTE(SUBSTITUTE(B4,"\","\\"),"'","''")&amp;"' AND posting_date &gt;= TO_DATE('"&amp;TEXT(B5,"yyyy-mm-dd")&amp;"') AND posting_date &lt; DATEADD(month,1,TO_DATE('"&amp;TEXT(B5,"yyyy-mm-dd")&amp;"'))"</f>
        <v>FROM FINANCE.PUBLIC.GL_ENTRIES WHERE entity = 'EXAMPLE_ENTITY' AND posting_date &gt;= TO_DATE('2026-09-01') AND posting_date &lt; DATEADD(month,1,TO_DATE('2026-09-01'))</v>
      </c>
      <c r="E10" s="4"/>
      <c r="F10" s="4"/>
      <c r="G10" s="4"/>
      <c r="H10" s="4"/>
    </row>
    <row r="11" spans="1:8" ht="60" customHeight="1" x14ac:dyDescent="0.25">
      <c r="A11" s="7" t="s">
        <v>10</v>
      </c>
      <c r="B11" s="7" t="str">
        <f>"SELECT SUM(amount) AS total_amount "&amp;B10</f>
        <v>SELECT SUM(amount) AS total_amount FROM FINANCE.PUBLIC.GL_ENTRIES WHERE entity = 'EXAMPLE_ENTITY' AND posting_date &gt;= TO_DATE('2026-09-01') AND posting_date &lt; DATEADD(month,1,TO_DATE('2026-09-01'))</v>
      </c>
      <c r="E11" s="4" t="s">
        <v>19</v>
      </c>
      <c r="F11" s="4"/>
      <c r="G11" s="4"/>
      <c r="H11" s="4"/>
    </row>
    <row r="12" spans="1:8" ht="60" customHeight="1" x14ac:dyDescent="0.25">
      <c r="A12" s="7" t="s">
        <v>11</v>
      </c>
      <c r="B12" s="7" t="str">
        <f>"SELECT CAST(account_code AS VARCHAR) AS account_code, account_name, SUM(amount) AS amount "&amp;B10&amp;" GROUP BY account_code, account_name ORDER BY account_code"</f>
        <v>SELECT CAST(account_code AS VARCHAR) AS account_code, account_name, SUM(amount) AS amount FROM FINANCE.PUBLIC.GL_ENTRIES WHERE entity = 'EXAMPLE_ENTITY' AND posting_date &gt;= TO_DATE('2026-09-01') AND posting_date &lt; DATEADD(month,1,TO_DATE('2026-09-01')) GROUP BY account_code, account_name ORDER BY account_code</v>
      </c>
      <c r="E12" s="4"/>
      <c r="F12" s="4"/>
      <c r="G12" s="4"/>
      <c r="H12" s="4"/>
    </row>
    <row r="13" spans="1:8" x14ac:dyDescent="0.25">
      <c r="E13" s="4" t="s">
        <v>20</v>
      </c>
      <c r="F13" s="4"/>
      <c r="G13" s="4"/>
      <c r="H13" s="4"/>
    </row>
    <row r="14" spans="1:8" x14ac:dyDescent="0.25">
      <c r="A14" t="s">
        <v>12</v>
      </c>
      <c r="B14" t="e" cm="1">
        <f t="array" aca="1" ref="B14" ca="1">SFVALUE(B11,$B$7)</f>
        <v>#NAME?</v>
      </c>
      <c r="E14" s="4"/>
      <c r="F14" s="4"/>
      <c r="G14" s="4"/>
      <c r="H14" s="4"/>
    </row>
    <row r="15" spans="1:8" x14ac:dyDescent="0.25">
      <c r="E15" s="4" t="s">
        <v>21</v>
      </c>
      <c r="F15" s="4"/>
      <c r="G15" s="4"/>
      <c r="H15" s="4"/>
    </row>
    <row r="16" spans="1:8" x14ac:dyDescent="0.25">
      <c r="E16" s="4"/>
      <c r="F16" s="4"/>
      <c r="G16" s="4"/>
      <c r="H16" s="4"/>
    </row>
    <row r="17" spans="1:6" x14ac:dyDescent="0.25">
      <c r="A17" s="3" t="s">
        <v>13</v>
      </c>
      <c r="B17" s="3"/>
      <c r="C17" s="3"/>
      <c r="E17" s="3" t="s">
        <v>14</v>
      </c>
      <c r="F17" s="3"/>
    </row>
    <row r="18" spans="1:6" x14ac:dyDescent="0.25">
      <c r="A18" t="e" cm="1">
        <f t="array" aca="1" ref="A18" ca="1">SFQUERY($B$12,TRUE,$B$7,$B$8)</f>
        <v>#NAME?</v>
      </c>
      <c r="E18" t="e" cm="1">
        <f t="array" aca="1" ref="E18" ca="1">SFSTATUS(A18)</f>
        <v>#NAME?</v>
      </c>
    </row>
  </sheetData>
  <mergeCells count="11">
    <mergeCell ref="E15:H16"/>
    <mergeCell ref="A1:H1"/>
    <mergeCell ref="A2:H2"/>
    <mergeCell ref="A17:C17"/>
    <mergeCell ref="E17:F17"/>
    <mergeCell ref="E4:H4"/>
    <mergeCell ref="E5:H6"/>
    <mergeCell ref="E7:H8"/>
    <mergeCell ref="E9:H10"/>
    <mergeCell ref="E11:H12"/>
    <mergeCell ref="E13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Chevalier</dc:creator>
  <cp:lastModifiedBy>Joe Chevalier</cp:lastModifiedBy>
  <dcterms:created xsi:type="dcterms:W3CDTF">2026-10-13T16:35:57Z</dcterms:created>
  <dcterms:modified xsi:type="dcterms:W3CDTF">2026-10-13T16:35:58Z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4266f0-f6cc-441b-832a-c62fb7775011_Enabled">
    <vt:lpwstr>true</vt:lpwstr>
  </property>
  <property fmtid="{D5CDD505-2E9C-101B-9397-08002B2CF9AE}" pid="3" name="MSIP_Label_024266f0-f6cc-441b-832a-c62fb7775011_SetDate">
    <vt:lpwstr>2026-10-13T16:35:58Z</vt:lpwstr>
  </property>
  <property fmtid="{D5CDD505-2E9C-101B-9397-08002B2CF9AE}" pid="4" name="MSIP_Label_024266f0-f6cc-441b-832a-c62fb7775011_Method">
    <vt:lpwstr>Standard</vt:lpwstr>
  </property>
  <property fmtid="{D5CDD505-2E9C-101B-9397-08002B2CF9AE}" pid="5" name="MSIP_Label_024266f0-f6cc-441b-832a-c62fb7775011_Name">
    <vt:lpwstr>Public</vt:lpwstr>
  </property>
  <property fmtid="{D5CDD505-2E9C-101B-9397-08002B2CF9AE}" pid="6" name="MSIP_Label_024266f0-f6cc-441b-832a-c62fb7775011_SiteId">
    <vt:lpwstr>11bfe7ed-a96d-47b8-93b9-f1d5ced7091b</vt:lpwstr>
  </property>
  <property fmtid="{D5CDD505-2E9C-101B-9397-08002B2CF9AE}" pid="7" name="MSIP_Label_024266f0-f6cc-441b-832a-c62fb7775011_ActionId">
    <vt:lpwstr>f2ed8a79-28ee-490b-9dd4-075767faeaa9</vt:lpwstr>
  </property>
  <property fmtid="{D5CDD505-2E9C-101B-9397-08002B2CF9AE}" pid="8" name="MSIP_Label_024266f0-f6cc-441b-832a-c62fb7775011_ContentBits">
    <vt:lpwstr>0</vt:lpwstr>
  </property>
  <property fmtid="{D5CDD505-2E9C-101B-9397-08002B2CF9AE}" pid="9" name="MSIP_Label_024266f0-f6cc-441b-832a-c62fb7775011_Tag">
    <vt:lpwstr>10, 3, 0, 1</vt:lpwstr>
  </property>
</Properties>
</file>